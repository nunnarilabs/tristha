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ummary" sheetId="2" state="visible" r:id="rId4"/>
  </sheets>
  <definedNames>
    <definedName function="false" hidden="true" localSheetId="0" name="_xlnm._FilterDatabase" vbProcedure="false">'Test Scenarios'!$A$1:$I$19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<sst xmlns="http://schemas.openxmlformats.org/spreadsheetml/2006/main" count="163" uniqueCount="123">
  <si>
    <t xml:space="preserve">Test Case ID</t>
  </si>
  <si>
    <t xml:space="preserve">Scenario / Test Case</t>
  </si>
  <si>
    <t xml:space="preserve">Preconditions</t>
  </si>
  <si>
    <t xml:space="preserve">Test Data</t>
  </si>
  <si>
    <t xml:space="preserve">Test Steps</t>
  </si>
  <si>
    <t xml:space="preserve">Expected Result</t>
  </si>
  <si>
    <t xml:space="preserve">Type</t>
  </si>
  <si>
    <t xml:space="preserve">Status</t>
  </si>
  <si>
    <t xml:space="preserve">Remarks</t>
  </si>
  <si>
    <t xml:space="preserve">TC_LN_001</t>
  </si>
  <si>
    <t xml:space="preserve">Loan application - valid submission</t>
  </si>
  <si>
    <t xml:space="preserve">User logged in with eligible profile; loans module accessible</t>
  </si>
  <si>
    <t xml:space="preserve">Amount: 500000; Tenure: 36 months; Income: 80000/mo</t>
  </si>
  <si>
    <t xml:space="preserve">1. Navigate to Loans &gt; Apply New Loan
2. Select loan product (Personal Loan)
3. Enter amount within eligible limit
4. Fill tenure, purpose and income details
5. Upload required documents
6. Submit application</t>
  </si>
  <si>
    <t xml:space="preserve">Application accepted, unique Loan Application ID generated, status set to 'Submitted', confirmation shown</t>
  </si>
  <si>
    <t xml:space="preserve">Positive</t>
  </si>
  <si>
    <t xml:space="preserve">Not Run</t>
  </si>
  <si>
    <t xml:space="preserve">TC_LN_002</t>
  </si>
  <si>
    <t xml:space="preserve">Loan amount below minimum</t>
  </si>
  <si>
    <t xml:space="preserve">On Apply New Loan screen</t>
  </si>
  <si>
    <t xml:space="preserve">Amount: 1000 (min 50000)</t>
  </si>
  <si>
    <t xml:space="preserve">1. Select loan product
2. Enter amount below product minimum
3. Attempt to submit</t>
  </si>
  <si>
    <t xml:space="preserve">Validation error: amount below allowed minimum; submission blocked</t>
  </si>
  <si>
    <t xml:space="preserve">Negative</t>
  </si>
  <si>
    <t xml:space="preserve">TC_LN_003</t>
  </si>
  <si>
    <t xml:space="preserve">Loan amount above maximum / eligibility</t>
  </si>
  <si>
    <t xml:space="preserve">Amount: 9999999 (eligible 600000)</t>
  </si>
  <si>
    <t xml:space="preserve">1. Select loan product
2. Enter amount exceeding eligible limit
3. Attempt to submit</t>
  </si>
  <si>
    <t xml:space="preserve">Validation error: amount exceeds eligibility; submission blocked</t>
  </si>
  <si>
    <t xml:space="preserve">TC_LN_004</t>
  </si>
  <si>
    <t xml:space="preserve">Mandatory fields validation</t>
  </si>
  <si>
    <t xml:space="preserve">All mandatory fields empty</t>
  </si>
  <si>
    <t xml:space="preserve">1. Leave amount, tenure and purpose blank
2. Click Submit</t>
  </si>
  <si>
    <t xml:space="preserve">Inline errors on each mandatory field; form not submitted</t>
  </si>
  <si>
    <t xml:space="preserve">TC_LN_005</t>
  </si>
  <si>
    <t xml:space="preserve">EMI calculation accuracy</t>
  </si>
  <si>
    <t xml:space="preserve">Loan product with defined interest rate selected</t>
  </si>
  <si>
    <t xml:space="preserve">P: 500000; R: 12% p.a; N: 36 months</t>
  </si>
  <si>
    <t xml:space="preserve">1. Enter principal, tenure and rate
2. View EMI breakdown</t>
  </si>
  <si>
    <t xml:space="preserve">EMI computed correctly (~16607), total interest and amortization schedule match formula</t>
  </si>
  <si>
    <t xml:space="preserve">TC_LN_006</t>
  </si>
  <si>
    <t xml:space="preserve">Document upload - invalid format</t>
  </si>
  <si>
    <t xml:space="preserve">On document upload step</t>
  </si>
  <si>
    <t xml:space="preserve">File: malware.exe / 50MB .zip</t>
  </si>
  <si>
    <t xml:space="preserve">1. Upload file in unsupported format
2. Observe response</t>
  </si>
  <si>
    <t xml:space="preserve">Upload rejected with format/size error; file not attached</t>
  </si>
  <si>
    <t xml:space="preserve">TC_LN_007</t>
  </si>
  <si>
    <t xml:space="preserve">Duplicate loan application</t>
  </si>
  <si>
    <t xml:space="preserve">User has an active loan application of same product in progress</t>
  </si>
  <si>
    <t xml:space="preserve">Existing app in 'Under Review'</t>
  </si>
  <si>
    <t xml:space="preserve">1. Apply for same loan product again
2. Submit</t>
  </si>
  <si>
    <t xml:space="preserve">System warns/blocks duplicate active application per business rule</t>
  </si>
  <si>
    <t xml:space="preserve">TC_LN_008</t>
  </si>
  <si>
    <t xml:space="preserve">Loan approval workflow</t>
  </si>
  <si>
    <t xml:space="preserve">Application submitted; logged in as Approver</t>
  </si>
  <si>
    <t xml:space="preserve">Valid submitted application</t>
  </si>
  <si>
    <t xml:space="preserve">1. Open pending application in approver queue
2. Review details
3. Approve with remarks</t>
  </si>
  <si>
    <t xml:space="preserve">Status changes to 'Approved', applicant notified, sanction letter generated</t>
  </si>
  <si>
    <t xml:space="preserve">TC_LN_009</t>
  </si>
  <si>
    <t xml:space="preserve">Loan rejection workflow</t>
  </si>
  <si>
    <t xml:space="preserve">Reason: insufficient income</t>
  </si>
  <si>
    <t xml:space="preserve">1. Open application
2. Reject with reason</t>
  </si>
  <si>
    <t xml:space="preserve">Status changes to 'Rejected', reason recorded, applicant notified</t>
  </si>
  <si>
    <t xml:space="preserve">TC_LN_010</t>
  </si>
  <si>
    <t xml:space="preserve">Disbursement to verified account</t>
  </si>
  <si>
    <t xml:space="preserve">Loan approved; bank account verified</t>
  </si>
  <si>
    <t xml:space="preserve">Approved amount: 500000</t>
  </si>
  <si>
    <t xml:space="preserve">1. Trigger disbursement
2. Confirm account and amount</t>
  </si>
  <si>
    <t xml:space="preserve">Funds disbursed, status 'Disbursed', repayment schedule activated, transaction logged</t>
  </si>
  <si>
    <t xml:space="preserve">TC_LN_011</t>
  </si>
  <si>
    <t xml:space="preserve">EMI payment - on time</t>
  </si>
  <si>
    <t xml:space="preserve">Active loan with due EMI</t>
  </si>
  <si>
    <t xml:space="preserve">EMI: 16607</t>
  </si>
  <si>
    <t xml:space="preserve">1. Open repayment screen
2. Pay current EMI
3. Confirm payment</t>
  </si>
  <si>
    <t xml:space="preserve">Payment recorded, outstanding reduced, next due date updated, receipt issued</t>
  </si>
  <si>
    <t xml:space="preserve">TC_LN_012</t>
  </si>
  <si>
    <t xml:space="preserve">EMI payment - failed transaction</t>
  </si>
  <si>
    <t xml:space="preserve">Payment gateway timeout</t>
  </si>
  <si>
    <t xml:space="preserve">1. Initiate EMI payment
2. Simulate gateway failure</t>
  </si>
  <si>
    <t xml:space="preserve">Payment marked failed, no double debit, EMI stays due, retry allowed</t>
  </si>
  <si>
    <t xml:space="preserve">TC_LN_013</t>
  </si>
  <si>
    <t xml:space="preserve">Late payment / penalty calculation</t>
  </si>
  <si>
    <t xml:space="preserve">EMI overdue past grace period</t>
  </si>
  <si>
    <t xml:space="preserve">Overdue by 10 days</t>
  </si>
  <si>
    <t xml:space="preserve">1. View overdue loan
2. Check penalty applied</t>
  </si>
  <si>
    <t xml:space="preserve">Penalty/late fee applied per policy, outstanding reflects penalty, status 'Overdue'</t>
  </si>
  <si>
    <t xml:space="preserve">TC_LN_014</t>
  </si>
  <si>
    <t xml:space="preserve">Foreclosure / prepayment</t>
  </si>
  <si>
    <t xml:space="preserve">Active loan with outstanding balance</t>
  </si>
  <si>
    <t xml:space="preserve">Outstanding + applicable charges</t>
  </si>
  <si>
    <t xml:space="preserve">1. Request foreclosure
2. View settlement amount
3. Confirm payment</t>
  </si>
  <si>
    <t xml:space="preserve">Settlement computed correctly, loan closed, status 'Closed', NOC generated</t>
  </si>
  <si>
    <t xml:space="preserve">TC_LN_015</t>
  </si>
  <si>
    <t xml:space="preserve">Loan closure on full repayment</t>
  </si>
  <si>
    <t xml:space="preserve">All EMIs paid</t>
  </si>
  <si>
    <t xml:space="preserve">Last EMI of schedule</t>
  </si>
  <si>
    <t xml:space="preserve">1. Pay final EMI
2. Verify loan status</t>
  </si>
  <si>
    <t xml:space="preserve">Outstanding becomes 0, status auto-set 'Closed', closure certificate available</t>
  </si>
  <si>
    <t xml:space="preserve">TC_LN_016</t>
  </si>
  <si>
    <t xml:space="preserve">Role-based access control</t>
  </si>
  <si>
    <t xml:space="preserve">Logged in as borrower (non-approver)</t>
  </si>
  <si>
    <t xml:space="preserve">Borrower role</t>
  </si>
  <si>
    <t xml:space="preserve">1. Attempt to access approver/admin loan actions</t>
  </si>
  <si>
    <t xml:space="preserve">Access denied; approval/disbursement actions not visible or blocked</t>
  </si>
  <si>
    <t xml:space="preserve">Security</t>
  </si>
  <si>
    <t xml:space="preserve">TC_LN_017</t>
  </si>
  <si>
    <t xml:space="preserve">Interest recalculation on rate change</t>
  </si>
  <si>
    <t xml:space="preserve">Floating-rate active loan</t>
  </si>
  <si>
    <t xml:space="preserve">Rate: 12% -&gt; 12.5%</t>
  </si>
  <si>
    <t xml:space="preserve">1. Admin updates benchmark rate
2. View revised schedule</t>
  </si>
  <si>
    <t xml:space="preserve">EMI/tenure recalculated per policy, revised schedule shown, customer notified</t>
  </si>
  <si>
    <t xml:space="preserve">TC_LN_018</t>
  </si>
  <si>
    <t xml:space="preserve">Session timeout during application</t>
  </si>
  <si>
    <t xml:space="preserve">Mid-way through application</t>
  </si>
  <si>
    <t xml:space="preserve">Idle &gt; timeout threshold</t>
  </si>
  <si>
    <t xml:space="preserve">1. Stay idle beyond session limit
2. Resume action</t>
  </si>
  <si>
    <t xml:space="preserve">Session expires, user re-authenticated, draft retained where applicable</t>
  </si>
  <si>
    <t xml:space="preserve">Loans Module - Test Scenario Summary</t>
  </si>
  <si>
    <t xml:space="preserve">Total test cases</t>
  </si>
  <si>
    <t xml:space="preserve">Pass</t>
  </si>
  <si>
    <t xml:space="preserve">Fail</t>
  </si>
  <si>
    <t xml:space="preserve">Blocked</t>
  </si>
  <si>
    <t xml:space="preserve">Execution % complete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</si>
</sst>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7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9"/>
      </left>
      <right style="thin">
        <color rgb="FFB0B7C9"/>
      </right>
      <top style="thin">
        <color rgb="FFB0B7C9"/>
      </top>
      <bottom style="thin">
        <color rgb="FFB0B7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2761"/>
          <bgColor rgb="FF000000"/>
        </patternFill>
      </fill>
    </dxf>
    <dxf>
      <fill>
        <patternFill patternType="solid">
          <fgColor rgb="FFF4F7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9"/>
      <rgbColor rgb="FF808080"/>
      <rgbColor rgb="FF9999FF"/>
      <rgbColor rgb="FF993366"/>
      <rgbColor rgb="FFF4F7F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8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8.6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customFormat="false" ht="35.0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/>
    </row>
    <row r="4" customFormat="false" ht="35.05" hidden="false" customHeight="false" outlineLevel="0" collapsed="false">
      <c r="A4" s="2" t="s">
        <v>24</v>
      </c>
      <c r="B4" s="2" t="s">
        <v>25</v>
      </c>
      <c r="C4" s="2" t="s">
        <v>19</v>
      </c>
      <c r="D4" s="2" t="s">
        <v>26</v>
      </c>
      <c r="E4" s="2" t="s">
        <v>27</v>
      </c>
      <c r="F4" s="2" t="s">
        <v>28</v>
      </c>
      <c r="G4" s="2" t="s">
        <v>23</v>
      </c>
      <c r="H4" s="2" t="s">
        <v>16</v>
      </c>
      <c r="I4" s="2"/>
    </row>
    <row r="5" customFormat="false" ht="23.85" hidden="false" customHeight="false" outlineLevel="0" collapsed="false">
      <c r="A5" s="3" t="s">
        <v>29</v>
      </c>
      <c r="B5" s="3" t="s">
        <v>30</v>
      </c>
      <c r="C5" s="3" t="s">
        <v>19</v>
      </c>
      <c r="D5" s="3" t="s">
        <v>31</v>
      </c>
      <c r="E5" s="3" t="s">
        <v>32</v>
      </c>
      <c r="F5" s="3" t="s">
        <v>33</v>
      </c>
      <c r="G5" s="3" t="s">
        <v>23</v>
      </c>
      <c r="H5" s="3" t="s">
        <v>16</v>
      </c>
      <c r="I5" s="3"/>
    </row>
    <row r="6" customFormat="false" ht="35.0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16</v>
      </c>
      <c r="I6" s="2"/>
    </row>
    <row r="7" customFormat="false" ht="23.85" hidden="false" customHeight="false" outlineLevel="0" collapsed="false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23</v>
      </c>
      <c r="H7" s="3" t="s">
        <v>16</v>
      </c>
      <c r="I7" s="3"/>
    </row>
    <row r="8" customFormat="false" ht="35.0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23</v>
      </c>
      <c r="H8" s="2" t="s">
        <v>16</v>
      </c>
      <c r="I8" s="2"/>
    </row>
    <row r="9" customFormat="false" ht="35.05" hidden="false" customHeight="false" outlineLevel="0" collapsed="false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15</v>
      </c>
      <c r="H9" s="3" t="s">
        <v>16</v>
      </c>
      <c r="I9" s="3"/>
    </row>
    <row r="10" customFormat="false" ht="23.85" hidden="false" customHeight="false" outlineLevel="0" collapsed="false">
      <c r="A10" s="2" t="s">
        <v>58</v>
      </c>
      <c r="B10" s="2" t="s">
        <v>59</v>
      </c>
      <c r="C10" s="2" t="s">
        <v>54</v>
      </c>
      <c r="D10" s="2" t="s">
        <v>60</v>
      </c>
      <c r="E10" s="2" t="s">
        <v>61</v>
      </c>
      <c r="F10" s="2" t="s">
        <v>62</v>
      </c>
      <c r="G10" s="2" t="s">
        <v>15</v>
      </c>
      <c r="H10" s="2" t="s">
        <v>16</v>
      </c>
      <c r="I10" s="2"/>
    </row>
    <row r="11" customFormat="false" ht="35.05" hidden="false" customHeight="false" outlineLevel="0" collapsed="false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15</v>
      </c>
      <c r="H11" s="3" t="s">
        <v>16</v>
      </c>
      <c r="I11" s="3"/>
    </row>
    <row r="12" customFormat="false" ht="35.05" hidden="false" customHeight="false" outlineLevel="0" collapsed="false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15</v>
      </c>
      <c r="H12" s="2" t="s">
        <v>16</v>
      </c>
      <c r="I12" s="2"/>
    </row>
    <row r="13" customFormat="false" ht="23.85" hidden="false" customHeight="false" outlineLevel="0" collapsed="false">
      <c r="A13" s="3" t="s">
        <v>75</v>
      </c>
      <c r="B13" s="3" t="s">
        <v>76</v>
      </c>
      <c r="C13" s="3" t="s">
        <v>71</v>
      </c>
      <c r="D13" s="3" t="s">
        <v>77</v>
      </c>
      <c r="E13" s="3" t="s">
        <v>78</v>
      </c>
      <c r="F13" s="3" t="s">
        <v>79</v>
      </c>
      <c r="G13" s="3" t="s">
        <v>23</v>
      </c>
      <c r="H13" s="3" t="s">
        <v>16</v>
      </c>
      <c r="I13" s="3"/>
    </row>
    <row r="14" customFormat="false" ht="23.85" hidden="false" customHeight="false" outlineLevel="0" collapsed="false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15</v>
      </c>
      <c r="H14" s="2" t="s">
        <v>16</v>
      </c>
      <c r="I14" s="2"/>
    </row>
    <row r="15" customFormat="false" ht="35.05" hidden="false" customHeight="false" outlineLevel="0" collapsed="false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  <c r="G15" s="3" t="s">
        <v>15</v>
      </c>
      <c r="H15" s="3" t="s">
        <v>16</v>
      </c>
      <c r="I15" s="3"/>
    </row>
    <row r="16" customFormat="false" ht="23.85" hidden="false" customHeight="false" outlineLevel="0" collapsed="false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15</v>
      </c>
      <c r="H16" s="2" t="s">
        <v>16</v>
      </c>
      <c r="I16" s="2"/>
    </row>
    <row r="17" customFormat="false" ht="23.85" hidden="false" customHeight="false" outlineLevel="0" collapsed="false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104</v>
      </c>
      <c r="H17" s="3" t="s">
        <v>16</v>
      </c>
      <c r="I17" s="3"/>
    </row>
    <row r="18" customFormat="false" ht="23.85" hidden="false" customHeight="false" outlineLevel="0" collapsed="false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15</v>
      </c>
      <c r="H18" s="2" t="s">
        <v>16</v>
      </c>
      <c r="I18" s="2"/>
    </row>
    <row r="19" customFormat="false" ht="23.85" hidden="false" customHeight="false" outlineLevel="0" collapsed="false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3" t="s">
        <v>23</v>
      </c>
      <c r="H19" s="3" t="s">
        <v>16</v>
      </c>
      <c r="I19" s="3"/>
    </row>
  </sheetData>
  <autoFilter ref="A1:I19"/>
  <dataValidations count="1">
    <dataValidation allowBlank="true" errorStyle="stop" operator="between" showDropDown="false" showErrorMessage="false" showInputMessage="false" sqref="H2:H19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117</v>
      </c>
    </row>
    <row r="3" customFormat="false" ht="15" hidden="false" customHeight="false" outlineLevel="0" collapsed="false">
      <c r="A3" s="5" t="s">
        <v>118</v>
      </c>
      <c r="B3" s="6" t="n">
        <f aca="false">COUNTA('Test Scenarios'!A2:A19)</f>
        <v>18</v>
      </c>
    </row>
    <row r="4" customFormat="false" ht="15" hidden="false" customHeight="false" outlineLevel="0" collapsed="false">
      <c r="A4" s="5" t="s">
        <v>15</v>
      </c>
      <c r="B4" s="6" t="n">
        <f aca="false">COUNTIF('Test Scenarios'!G2:G19,"Positive")</f>
        <v>10</v>
      </c>
    </row>
    <row r="5" customFormat="false" ht="15" hidden="false" customHeight="false" outlineLevel="0" collapsed="false">
      <c r="A5" s="5" t="s">
        <v>23</v>
      </c>
      <c r="B5" s="6" t="n">
        <f aca="false">COUNTIF('Test Scenarios'!G2:G19,"Negative")</f>
        <v>7</v>
      </c>
    </row>
    <row r="6" customFormat="false" ht="15" hidden="false" customHeight="false" outlineLevel="0" collapsed="false">
      <c r="A6" s="5" t="s">
        <v>104</v>
      </c>
      <c r="B6" s="6" t="n">
        <f aca="false">COUNTIF('Test Scenarios'!G2:G19,"Security")</f>
        <v>1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 t="s">
        <v>119</v>
      </c>
      <c r="B8" s="6" t="n">
        <f aca="false">COUNTIF('Test Scenarios'!H2:H19,"Pass")</f>
        <v>0</v>
      </c>
    </row>
    <row r="9" customFormat="false" ht="15" hidden="false" customHeight="false" outlineLevel="0" collapsed="false">
      <c r="A9" s="5" t="s">
        <v>120</v>
      </c>
      <c r="B9" s="6" t="n">
        <f aca="false">COUNTIF('Test Scenarios'!H2:H19,"Fail")</f>
        <v>0</v>
      </c>
    </row>
    <row r="10" customFormat="false" ht="15" hidden="false" customHeight="false" outlineLevel="0" collapsed="false">
      <c r="A10" s="5" t="s">
        <v>121</v>
      </c>
      <c r="B10" s="6" t="n">
        <f aca="false">COUNTIF('Test Scenarios'!H2:H19,"Blocked")</f>
        <v>0</v>
      </c>
    </row>
    <row r="11" customFormat="false" ht="15" hidden="false" customHeight="false" outlineLevel="0" collapsed="false">
      <c r="A11" s="5" t="s">
        <v>16</v>
      </c>
      <c r="B11" s="6" t="n">
        <f aca="false">COUNTIF('Test Scenarios'!H2:H19,"Not Run")</f>
        <v>18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 t="s">
        <v>122</v>
      </c>
      <c r="B13" s="7" t="n">
        <f aca="false">IF(B3=0,0,(B8+B9+B10)/B3)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2026-06-06T09:31:26Z</dcterms:created>
  <dc:creator>openpyxl</dc:creator>
  <dc:description/>
  <dc:language>en-US</dc:language>
  <cp:lastModifiedBy/>
  <dcterms:modified xsi:type="dcterms:W3CDTF">2026-06-06T09:31:26Z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